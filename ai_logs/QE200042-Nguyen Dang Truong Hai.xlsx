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sus\Downloads\"/>
    </mc:Choice>
  </mc:AlternateContent>
  <bookViews>
    <workbookView xWindow="0" yWindow="0" windowWidth="23040" windowHeight="9756" firstSheet="1" activeTab="2"/>
  </bookViews>
  <sheets>
    <sheet name="1. Metadata &amp; Summary" sheetId="1" r:id="rId1"/>
    <sheet name="2. Detailed Audit Log" sheetId="2" r:id="rId2"/>
    <sheet name="3. Hallucination Detection" sheetId="3" r:id="rId3"/>
    <sheet name="4. Self-Assessment Checklist" sheetId="4" r:id="rId4"/>
  </sheets>
  <calcPr calcId="162913"/>
</workbook>
</file>

<file path=xl/calcChain.xml><?xml version="1.0" encoding="utf-8"?>
<calcChain xmlns="http://schemas.openxmlformats.org/spreadsheetml/2006/main">
  <c r="C12" i="1" l="1"/>
</calcChain>
</file>

<file path=xl/sharedStrings.xml><?xml version="1.0" encoding="utf-8"?>
<sst xmlns="http://schemas.openxmlformats.org/spreadsheetml/2006/main" count="230" uniqueCount="188">
  <si>
    <t>AI AUDIT LOG - METADATA &amp; SUMMARY</t>
  </si>
  <si>
    <t>STUDENT INFORMATION</t>
  </si>
  <si>
    <t>Student Name:</t>
  </si>
  <si>
    <t>Student ID:</t>
  </si>
  <si>
    <t>Course:</t>
  </si>
  <si>
    <t>[e.g., LAB211, PRF192, ADY201m]</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</si>
  <si>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</si>
  <si>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</si>
  <si>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</si>
  <si>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</si>
  <si>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</si>
  <si>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</si>
  <si>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</si>
  <si>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</si>
  <si>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</si>
  <si>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</si>
  <si>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</si>
  <si>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</si>
  <si>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</si>
  <si>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</si>
  <si>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</si>
  <si>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</si>
  <si>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</si>
  <si>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</si>
  <si>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</si>
  <si>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</si>
  <si>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</si>
  <si>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</si>
  <si>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</si>
  <si>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</si>
  <si>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</si>
  <si>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</si>
  <si>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</si>
  <si>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</si>
  <si>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</si>
  <si>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</si>
  <si>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</si>
  <si>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</si>
  <si>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</si>
  <si>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</si>
  <si>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</si>
  <si>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</si>
  <si>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</si>
  <si>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</si>
  <si>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</si>
  <si>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</si>
  <si>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</si>
  <si>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</si>
  <si>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</si>
  <si>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</si>
  <si>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</si>
  <si>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</si>
  <si>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</si>
  <si>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002</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</si>
  <si>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</si>
  <si>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</si>
  <si>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</si>
  <si>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</si>
  <si>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</si>
  <si>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</si>
  <si>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</si>
  <si>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</si>
  <si>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</si>
  <si>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</si>
  <si>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</si>
  <si>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</si>
  <si>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</si>
  <si>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</si>
  <si>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</si>
  <si>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</si>
  <si>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</si>
  <si>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</si>
  <si>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</si>
  <si>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</si>
  <si>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</si>
  <si>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</si>
  <si>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</si>
  <si>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</si>
  <si>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</si>
  <si>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</si>
  <si>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</si>
  <si>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</si>
  <si>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</si>
  <si>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</si>
  <si>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</si>
  <si>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</si>
  <si>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</si>
  <si>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</si>
  <si>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</si>
  <si>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</si>
  <si>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</si>
  <si>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</si>
  <si>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</si>
  <si>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</si>
  <si>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</si>
  <si>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</si>
  <si>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</si>
  <si>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</si>
  <si>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</si>
  <si>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</si>
  <si>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</si>
  <si>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</si>
  <si>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</si>
  <si>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</si>
  <si>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</si>
  <si>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</si>
  <si>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</si>
  <si>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</si>
  <si>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</si>
  <si>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</si>
  <si>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</si>
  <si>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</si>
  <si>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</si>
  <si>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</si>
  <si>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</si>
  <si>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</si>
  <si>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</si>
  <si>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</si>
  <si>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</si>
  <si>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Nguyễn Đặng Trường Hải</t>
  </si>
  <si>
    <t>QE200042</t>
  </si>
  <si>
    <t xml:space="preserve">Pharmacy Chain Simulation
</t>
  </si>
  <si>
    <t>QUYẾT ĐỊNH</t>
  </si>
  <si>
    <t>GIẢI QUYẾT VẤN ĐỀ</t>
  </si>
  <si>
    <t>Đơn giản hóa quá mức</t>
  </si>
  <si>
    <t>Lỗi Logic</t>
  </si>
  <si>
    <t>004</t>
  </si>
  <si>
    <t>005</t>
  </si>
  <si>
    <t xml:space="preserve"> QUYẾT ĐỊNH</t>
  </si>
  <si>
    <t>Use Case Diagram</t>
  </si>
  <si>
    <t xml:space="preserve"> AI chỉ gợi ý sơ sài về chức năng thanh toán.</t>
  </si>
  <si>
    <t>Use Case diagram với Pay Online/Pay Cash.</t>
  </si>
  <si>
    <t>Database Schema</t>
  </si>
  <si>
    <t>“Có cần bảng prescription_items không?”</t>
  </si>
  <si>
    <t>Schema với prescription_items</t>
  </si>
  <si>
    <t>Data Generator</t>
  </si>
  <si>
    <t>AI sinh ngày sinh bệnh nhân ngẫu nhiên, có thể ra ngày trong tương lai.</t>
  </si>
  <si>
    <t>DataGenerator.java với logic DOB &lt; current date.</t>
  </si>
  <si>
    <t>006</t>
  </si>
  <si>
    <t>DataGenerator.java với danh sách branch_id cố định.</t>
  </si>
  <si>
    <t>Schema với cột version.</t>
  </si>
  <si>
    <t>Use Case diagram với Login và Logout.</t>
  </si>
  <si>
    <t>AI cho rằng chỉ cần gộp Login/Logout vào Account là đủ.</t>
  </si>
  <si>
    <t>Thực tế Login/Logout là hành vi runtime, không phải thuộc tính Account. Nếu gộp chung sẽ mất đi tính bảo mật và không phản ánh đúng quy trình đăng nhập.</t>
  </si>
  <si>
    <t>Khi đối chiếu với yêu cầu bảo mật hệ thống và sơ đồ use case chuẩn, thấy thiếu chức năng đăng nhập/đăng xuất riêng.</t>
  </si>
  <si>
    <t>AI nói không cần chi tiết hóa thanh toán, chỉ cần một chức năng Payment chung.</t>
  </si>
  <si>
    <t>Thực tế phải có Pay Online và Pay Cash để phản ánh hai quy trình nghiệp vụ khác nhau. Nếu bỏ qua sẽ không thể kiểm soát logic thanh toán.</t>
  </si>
  <si>
    <t>Khi so với quy trình thực tế của nhà thuốc, thấy thiếu phân biệt phương thức thanh toán.</t>
  </si>
  <si>
    <t>AI gợi ý lưu danh sách thuốc trong một cột text của bảng prescriptions.</t>
  </si>
  <si>
    <t>Đây là cách lưu trữ vi phạm chuẩn hóa, gây khó khăn cho việc query và tính toán.</t>
  </si>
  <si>
    <t>Khi kiểm tra thiết kế schema, thấy không thể truy vấn từng thuốc trong đơn</t>
  </si>
  <si>
    <t>Tạo bảng prescription_items để xử lý quan hệ nhiều-nhiều giữa prescriptions và medicines.</t>
  </si>
  <si>
    <t>AI khẳng định không cần cột version trong bảng dữ liệu.</t>
  </si>
  <si>
    <t>Thực tế cần cột version để kiểm soát cập nhật, tránh xung đột khi nhiều người thao tác đồng thời.</t>
  </si>
  <si>
    <t>Khi xem xét tình huống concurrency và rollback, thấy thiếu cơ chế kiểm soát.</t>
  </si>
  <si>
    <t>Dơn Giản Hóa</t>
  </si>
  <si>
    <t>Thêm cột version vào schema để hỗ trợ kiểm soát phiên bản dữ liệu.</t>
  </si>
  <si>
    <t>AI cho rằng random DOB thoải mái là ổn.</t>
  </si>
  <si>
    <t>Nếu không giới hạn, có thể sinh ra ngày sinh trong tương lai, dữ liệu không hợp lý.</t>
  </si>
  <si>
    <t>Khi chạy Data Generator, phát hiện có bệnh nhân sinh năm sau ngày hiện tại..</t>
  </si>
  <si>
    <t>AI nói random branch_id là đủ, không cần kiểm tra.</t>
  </si>
  <si>
    <t>Nếu random không giới hạn, có thể sinh ra branch_id không tồn tại trong danh sách chi nhánh.</t>
  </si>
  <si>
    <t>Khi đối chiếu với danh sách chi nhánh thực tế, thấy dữ liệu không khớp.</t>
  </si>
  <si>
    <t>Critical Thinking: Nếu gộp chung, hệ thống sẽ không phản ánh đúng hành vi đăng nhập/đăng xuất.
Contextualization: Trong thực tế, đăng nhập và đăng xuất là hai quy trình bảo mật riêng biệt.
Creative Synthesis: Tách riêng use case Login và Logout để đảm bảo kiểm soát phiên làm việc.
Decision: Chỉnh sơ đồ để phản ánh đúng hành vi runtime.</t>
  </si>
  <si>
    <t>Critical Thinking: Thiếu phản ánh nghiệp vụ thực tế.
Contextualization: Nhà thuốc có cả online và cash, cần phân biệt.
Creative Synthesis: Thêm use case Pay Online/Pay Cash.
Decision: Chỉnh sơ đồ để phản ánh đúng quy trình.</t>
  </si>
  <si>
    <t>Nhận ra phải có bảng trung gian để xử lý quan hệ nhiều-nhiều..Critical Thinking: Vi phạm chuẩn hóa, khó query.
Contextualization: Trong thực tế, mỗi đơn thuốc có nhiều loại thuốc, cần quan hệ nhiều-nhiều.
Creative Synthesis: Tạo bảng prescription_items để lưu chi tiết từng thuốc.
Decision: Chỉnh schema để đảm bảo tính toàn vẹn dữ liệu.</t>
  </si>
  <si>
    <t>Critical Thinking: Ngày sinh trong tương lai vô lý.
Contextualization: Dữ liệu không hợp lý, ảnh hưởng đến test case.
Creative Synthesis: Giới hạn DOB &lt; current date.
Decision: Chỉnh code Data Generator.</t>
  </si>
  <si>
    <t>“DOB random nó có được không dậy”</t>
  </si>
  <si>
    <t>“cái cột version nó có liên quan với nó có công dụng gì hong vậy”</t>
  </si>
  <si>
    <t>Critical Thinking: Thiếu kiểm soát cập nhật, dễ xung đột.
Contextualization: Trong thực tế, nhiều người có thể cùng cập nhật dữ liệu.
Creative Synthesis: Thêm cột version để kiểm soát phiên bản.
Decision: Chỉnh schema để đảm bảo concurrency.</t>
  </si>
  <si>
    <t>Critical Thinking: Có thể sinh ID không tồn tại.
Contextualization: Dữ liệu không khớp với chi nhánh thực tế.
Creative Synthesis: Giới hạn branch_id trong tập hợp hợp lệ (BR001, BR002, BR003).
Decision: Chỉnh code Data Generator.</t>
  </si>
  <si>
    <t>AI cho rằng việc gộp chung sẽ đơn giản hóa sơ đồ và không ảnh hưởng đến chức năng tổng thể.</t>
  </si>
  <si>
    <t xml:space="preserve"> AI nhận định rằng một use case Payment tổng quát đã đủ để mô tả quy trình thanh toán, không cần phân tách chi tiết.</t>
  </si>
  <si>
    <t xml:space="preserve"> “Mình nên thêm hai phương thức thanh toán không nhỉ”</t>
  </si>
  <si>
    <t>AI nói không cần.y. AI cho rằng việc lưu danh sách thuốc trong một cột text sẽ giúp thiết kế đơn giản hơn và dễ triển khai ban đầu.</t>
  </si>
  <si>
    <t xml:space="preserve"> AI cho rằng việc thêm cột version là không cần thiết, vì dữ liệu có thể được cập nhật trực tiếp mà không cần kiểm soát phiên bản.</t>
  </si>
  <si>
    <t>AI khẳng định rằng việc sinh ngày sinh ngẫu nhiên không gây vấn đề, vì mục tiêu chỉ là tạo dữ liệu giả lập.</t>
  </si>
  <si>
    <t xml:space="preserve"> AI cho rằng chỉ cần random số là đủ, vì mục tiêu là tạo dữ liệu giả lập, không cần khớp với thực tế.</t>
  </si>
  <si>
    <t>“ủa các cái brand nó không có chung dữ liệu với nhau à”</t>
  </si>
  <si>
    <t xml:space="preserve"> AI gợi ý gộp Login/Logout vào Account. Vấn đề là nếu gộp chung thì sơ đồ sẽ không phản ánh đúng quy trình bảo mật.</t>
  </si>
  <si>
    <t>"tại sao không tách ra riêng cho dễ quản lí từng người "</t>
  </si>
  <si>
    <t xml:space="preserve">AI gợi ý lưu danh sách thuốc trong một cột text của bảng prescriptions. </t>
  </si>
  <si>
    <t xml:space="preserve"> AI random branch_id không khớp với danh sách chi nhánh. Vấn đề là nếu sinh ra ID không tồn tại, dữ liệu sẽ không thể dùng để kiểm thử repository hoặc query thực tế.</t>
  </si>
  <si>
    <t xml:space="preserve"> AI không đề cập đến cột version trong bảng dữ liệu. Vấn đề là khi nhiều người cùng cập nhật, thiếu version sẽ dẫn đến xung đột dữ liệu, không thể kiểm soát</t>
  </si>
  <si>
    <t>Thêm use case Login và Logout riêng biệt trong sơ đồ để phản ánh đúng hành vi và đảm bảo tính bảo mật.</t>
  </si>
  <si>
    <t>Bổ sung use case Pay Online và Pay Cash để phản ánh đúng nghiệp vụ và đảm bảo tính đầy đủ của hệ thống.</t>
  </si>
  <si>
    <t>Giới hạn DOB &lt; current date trong code Data Generator.Giới hạn DOB &lt; current date trong code Data Generator để đảm bảo dữ liệu hợp lý và phản ánh đúng thực tế.</t>
  </si>
  <si>
    <t>Giới hạn branch_id trong tập hợp hợp lệ (ví dụ: cho nó radom ngẫu nhiên tầm 21 chi nhánh là được)..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</si>
</sst>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3"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indexed="64"/>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wrapText="1"/>
    </xf>
    <xf numFmtId="0" fontId="0" fillId="0" borderId="3" xfId="0" applyBorder="1" applyAlignment="1">
      <alignment horizontal="left" vertical="top" wrapText="1"/>
    </xf>
    <xf numFmtId="0" fontId="0" fillId="0" borderId="4" xfId="0" applyFill="1" applyBorder="1" applyAlignment="1">
      <alignment horizontal="left" vertical="top" wrapText="1"/>
    </xf>
    <xf numFmtId="0" fontId="0" fillId="0" borderId="1" xfId="0" quotePrefix="1" applyBorder="1" applyAlignment="1">
      <alignment horizontal="left" vertical="top" wrapText="1"/>
    </xf>
    <xf numFmtId="0" fontId="0" fillId="0" borderId="2" xfId="0" applyBorder="1" applyAlignment="1">
      <alignment horizontal="left" vertical="top"/>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workbookViewId="0">
      <selection activeCell="D11" sqref="D1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3" t="s">
        <v>0</v>
      </c>
      <c r="B1" s="24"/>
      <c r="C1" s="24"/>
      <c r="D1" s="24"/>
      <c r="E1" s="24"/>
      <c r="F1" s="24"/>
    </row>
    <row r="3" spans="1:6" ht="18" x14ac:dyDescent="0.35">
      <c r="A3" s="1" t="s">
        <v>1</v>
      </c>
    </row>
    <row r="4" spans="1:6" x14ac:dyDescent="0.3">
      <c r="A4" s="2" t="s">
        <v>2</v>
      </c>
      <c r="C4" t="s">
        <v>119</v>
      </c>
    </row>
    <row r="5" spans="1:6" x14ac:dyDescent="0.3">
      <c r="A5" s="2" t="s">
        <v>3</v>
      </c>
      <c r="C5" t="s">
        <v>120</v>
      </c>
    </row>
    <row r="6" spans="1:6" x14ac:dyDescent="0.3">
      <c r="A6" s="2" t="s">
        <v>4</v>
      </c>
      <c r="C6" t="s">
        <v>5</v>
      </c>
    </row>
    <row r="7" spans="1:6" ht="43.2" x14ac:dyDescent="0.3">
      <c r="A7" s="2" t="s">
        <v>6</v>
      </c>
      <c r="C7" s="18" t="s">
        <v>121</v>
      </c>
    </row>
    <row r="9" spans="1:6" ht="18" x14ac:dyDescent="0.35">
      <c r="A9" s="1" t="s">
        <v>7</v>
      </c>
    </row>
    <row r="10" spans="1:6" x14ac:dyDescent="0.3">
      <c r="A10" s="2" t="s">
        <v>8</v>
      </c>
      <c r="C10" t="s">
        <v>9</v>
      </c>
    </row>
    <row r="11" spans="1:6" x14ac:dyDescent="0.3">
      <c r="A11" s="2" t="s">
        <v>10</v>
      </c>
      <c r="C11" s="3" t="s">
        <v>11</v>
      </c>
    </row>
    <row r="12" spans="1:6" x14ac:dyDescent="0.3">
      <c r="A12" s="2" t="s">
        <v>12</v>
      </c>
      <c r="C12" s="4" t="e">
        <f>C11/C10</f>
        <v>#VALUE!</v>
      </c>
      <c r="E12" s="5" t="s">
        <v>13</v>
      </c>
    </row>
    <row r="13" spans="1:6" x14ac:dyDescent="0.3">
      <c r="A13" s="2" t="s">
        <v>14</v>
      </c>
      <c r="C13" s="3" t="s">
        <v>15</v>
      </c>
    </row>
    <row r="15" spans="1:6" ht="18"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32</v>
      </c>
      <c r="B20" s="7"/>
      <c r="C20" s="7"/>
      <c r="D20" s="7"/>
    </row>
    <row r="22" spans="1:4" ht="18" x14ac:dyDescent="0.35">
      <c r="A22" s="1" t="s">
        <v>33</v>
      </c>
    </row>
    <row r="23" spans="1:4" x14ac:dyDescent="0.3">
      <c r="A23" s="6" t="s">
        <v>34</v>
      </c>
      <c r="B23" s="6" t="s">
        <v>35</v>
      </c>
      <c r="C23" s="6" t="s">
        <v>36</v>
      </c>
    </row>
    <row r="24" spans="1:4" x14ac:dyDescent="0.3">
      <c r="A24" s="7" t="s">
        <v>37</v>
      </c>
      <c r="B24" s="8">
        <v>0</v>
      </c>
      <c r="C24" s="9" t="s">
        <v>38</v>
      </c>
    </row>
    <row r="25" spans="1:4" x14ac:dyDescent="0.3">
      <c r="A25" s="7" t="s">
        <v>39</v>
      </c>
      <c r="B25" s="8">
        <v>0</v>
      </c>
      <c r="C25" s="9" t="s">
        <v>38</v>
      </c>
    </row>
    <row r="26" spans="1:4" x14ac:dyDescent="0.3">
      <c r="A26" s="7" t="s">
        <v>40</v>
      </c>
      <c r="B26" s="8">
        <v>0</v>
      </c>
      <c r="C26" s="9" t="s">
        <v>38</v>
      </c>
    </row>
    <row r="27" spans="1:4" x14ac:dyDescent="0.3">
      <c r="A27" s="7" t="s">
        <v>41</v>
      </c>
      <c r="B27" s="8">
        <v>0</v>
      </c>
      <c r="C27" s="9" t="s">
        <v>38</v>
      </c>
    </row>
  </sheetData>
  <mergeCells count="1">
    <mergeCell ref="A1:F1"/>
  </mergeCell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6"/>
  <sheetViews>
    <sheetView topLeftCell="A3" zoomScale="68" zoomScaleNormal="68" workbookViewId="0">
      <selection activeCell="D5" sqref="D5"/>
    </sheetView>
  </sheetViews>
  <sheetFormatPr defaultRowHeight="14.4" x14ac:dyDescent="0.3"/>
  <cols>
    <col min="1" max="1" width="8" customWidth="1"/>
    <col min="2" max="3" width="18" customWidth="1"/>
    <col min="4" max="4" width="29.5546875" customWidth="1"/>
    <col min="5" max="5" width="30" customWidth="1"/>
    <col min="6" max="6" width="35" customWidth="1"/>
    <col min="7" max="7" width="50" customWidth="1"/>
    <col min="8" max="8" width="20" customWidth="1"/>
  </cols>
  <sheetData>
    <row r="1" spans="1:8" x14ac:dyDescent="0.3">
      <c r="A1" s="23" t="s">
        <v>42</v>
      </c>
      <c r="B1" s="24"/>
      <c r="C1" s="24"/>
      <c r="D1" s="24"/>
      <c r="E1" s="24"/>
      <c r="F1" s="24"/>
      <c r="G1" s="24"/>
      <c r="H1" s="24"/>
    </row>
    <row r="2" spans="1:8" ht="30" customHeight="1" x14ac:dyDescent="0.3">
      <c r="A2" s="25" t="s">
        <v>43</v>
      </c>
      <c r="B2" s="24"/>
      <c r="C2" s="24"/>
      <c r="D2" s="24"/>
      <c r="E2" s="24"/>
      <c r="F2" s="24"/>
      <c r="G2" s="24"/>
      <c r="H2" s="24"/>
    </row>
    <row r="3" spans="1:8" ht="40.049999999999997" customHeight="1" x14ac:dyDescent="0.3">
      <c r="A3" s="6" t="s">
        <v>44</v>
      </c>
      <c r="B3" s="6" t="s">
        <v>45</v>
      </c>
      <c r="C3" s="6" t="s">
        <v>46</v>
      </c>
      <c r="D3" s="6" t="s">
        <v>47</v>
      </c>
      <c r="E3" s="6" t="s">
        <v>48</v>
      </c>
      <c r="F3" s="6" t="s">
        <v>49</v>
      </c>
      <c r="G3" s="6" t="s">
        <v>50</v>
      </c>
      <c r="H3" s="6" t="s">
        <v>51</v>
      </c>
    </row>
    <row r="4" spans="1:8" ht="100.05" customHeight="1" x14ac:dyDescent="0.3">
      <c r="A4" s="7" t="s">
        <v>52</v>
      </c>
      <c r="B4" s="7" t="s">
        <v>122</v>
      </c>
      <c r="C4" s="7" t="s">
        <v>129</v>
      </c>
      <c r="D4" s="7" t="s">
        <v>179</v>
      </c>
      <c r="E4" s="7" t="s">
        <v>180</v>
      </c>
      <c r="F4" s="7" t="s">
        <v>171</v>
      </c>
      <c r="G4" s="7" t="s">
        <v>163</v>
      </c>
      <c r="H4" s="7" t="s">
        <v>141</v>
      </c>
    </row>
    <row r="5" spans="1:8" ht="93.6" customHeight="1" x14ac:dyDescent="0.3">
      <c r="A5" s="21" t="s">
        <v>53</v>
      </c>
      <c r="B5" s="7" t="s">
        <v>128</v>
      </c>
      <c r="C5" s="7" t="s">
        <v>129</v>
      </c>
      <c r="D5" s="7" t="s">
        <v>130</v>
      </c>
      <c r="E5" s="7" t="s">
        <v>173</v>
      </c>
      <c r="F5" s="7" t="s">
        <v>172</v>
      </c>
      <c r="G5" s="7" t="s">
        <v>164</v>
      </c>
      <c r="H5" s="7" t="s">
        <v>131</v>
      </c>
    </row>
    <row r="6" spans="1:8" ht="92.4" customHeight="1" x14ac:dyDescent="0.3">
      <c r="A6" s="21" t="s">
        <v>54</v>
      </c>
      <c r="B6" s="7" t="s">
        <v>122</v>
      </c>
      <c r="C6" s="7" t="s">
        <v>132</v>
      </c>
      <c r="D6" s="7" t="s">
        <v>181</v>
      </c>
      <c r="E6" s="7" t="s">
        <v>133</v>
      </c>
      <c r="F6" s="7" t="s">
        <v>174</v>
      </c>
      <c r="G6" s="29" t="s">
        <v>165</v>
      </c>
      <c r="H6" s="20" t="s">
        <v>134</v>
      </c>
    </row>
    <row r="7" spans="1:8" ht="79.95" customHeight="1" x14ac:dyDescent="0.3">
      <c r="A7" s="21" t="s">
        <v>126</v>
      </c>
      <c r="B7" s="7" t="s">
        <v>122</v>
      </c>
      <c r="C7" s="7" t="s">
        <v>132</v>
      </c>
      <c r="D7" s="7" t="s">
        <v>183</v>
      </c>
      <c r="E7" s="7" t="s">
        <v>168</v>
      </c>
      <c r="F7" s="7" t="s">
        <v>175</v>
      </c>
      <c r="G7" s="7" t="s">
        <v>169</v>
      </c>
      <c r="H7" s="7" t="s">
        <v>140</v>
      </c>
    </row>
    <row r="8" spans="1:8" ht="79.95" customHeight="1" x14ac:dyDescent="0.3">
      <c r="A8" s="21" t="s">
        <v>127</v>
      </c>
      <c r="B8" s="7" t="s">
        <v>123</v>
      </c>
      <c r="C8" s="7" t="s">
        <v>135</v>
      </c>
      <c r="D8" s="7" t="s">
        <v>136</v>
      </c>
      <c r="E8" s="7" t="s">
        <v>167</v>
      </c>
      <c r="F8" s="7" t="s">
        <v>176</v>
      </c>
      <c r="G8" s="7" t="s">
        <v>166</v>
      </c>
      <c r="H8" s="7" t="s">
        <v>137</v>
      </c>
    </row>
    <row r="9" spans="1:8" ht="79.95" customHeight="1" x14ac:dyDescent="0.3">
      <c r="A9" s="21" t="s">
        <v>138</v>
      </c>
      <c r="B9" s="7" t="s">
        <v>123</v>
      </c>
      <c r="C9" s="7" t="s">
        <v>135</v>
      </c>
      <c r="D9" s="7" t="s">
        <v>182</v>
      </c>
      <c r="E9" s="7" t="s">
        <v>178</v>
      </c>
      <c r="F9" s="7" t="s">
        <v>177</v>
      </c>
      <c r="G9" s="7" t="s">
        <v>170</v>
      </c>
      <c r="H9" s="7" t="s">
        <v>139</v>
      </c>
    </row>
    <row r="10" spans="1:8" ht="87.6" customHeight="1" x14ac:dyDescent="0.3"/>
    <row r="11" spans="1:8" ht="79.95" customHeight="1" x14ac:dyDescent="0.3">
      <c r="A11" s="7"/>
      <c r="B11" s="7"/>
      <c r="C11" s="7"/>
      <c r="D11" s="7"/>
      <c r="E11" s="7"/>
      <c r="F11" s="7"/>
      <c r="G11" s="7"/>
      <c r="H11" s="7"/>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tabSelected="1" zoomScale="50" zoomScaleNormal="50" workbookViewId="0">
      <selection activeCell="E11" sqref="E11"/>
    </sheetView>
  </sheetViews>
  <sheetFormatPr defaultRowHeight="14.4" x14ac:dyDescent="0.3"/>
  <cols>
    <col min="1" max="1" width="12" customWidth="1"/>
    <col min="2" max="2" width="22" customWidth="1"/>
    <col min="3" max="3" width="30.21875" customWidth="1"/>
    <col min="4" max="4" width="38.6640625" customWidth="1"/>
    <col min="5" max="5" width="44.5546875" customWidth="1"/>
    <col min="6" max="6" width="42.21875" customWidth="1"/>
  </cols>
  <sheetData>
    <row r="1" spans="1:6" x14ac:dyDescent="0.3">
      <c r="A1" s="27" t="s">
        <v>55</v>
      </c>
      <c r="B1" s="24"/>
      <c r="C1" s="24"/>
      <c r="D1" s="24"/>
      <c r="E1" s="24"/>
      <c r="F1" s="24"/>
    </row>
    <row r="2" spans="1:6" x14ac:dyDescent="0.3">
      <c r="A2" s="26" t="s">
        <v>56</v>
      </c>
      <c r="B2" s="24"/>
      <c r="C2" s="24"/>
      <c r="D2" s="24"/>
      <c r="E2" s="24"/>
      <c r="F2" s="24"/>
    </row>
    <row r="3" spans="1:6" ht="40.049999999999997" customHeight="1" x14ac:dyDescent="0.3">
      <c r="A3" s="6" t="s">
        <v>57</v>
      </c>
      <c r="B3" s="6" t="s">
        <v>58</v>
      </c>
      <c r="C3" s="6" t="s">
        <v>59</v>
      </c>
      <c r="D3" s="6" t="s">
        <v>60</v>
      </c>
      <c r="E3" s="6" t="s">
        <v>61</v>
      </c>
      <c r="F3" s="6" t="s">
        <v>62</v>
      </c>
    </row>
    <row r="4" spans="1:6" ht="60" customHeight="1" x14ac:dyDescent="0.3">
      <c r="A4" s="7" t="s">
        <v>54</v>
      </c>
      <c r="B4" s="7" t="s">
        <v>63</v>
      </c>
      <c r="C4" s="7" t="s">
        <v>64</v>
      </c>
      <c r="D4" s="7" t="s">
        <v>65</v>
      </c>
      <c r="E4" s="7" t="s">
        <v>66</v>
      </c>
      <c r="F4" s="7" t="s">
        <v>67</v>
      </c>
    </row>
    <row r="5" spans="1:6" ht="67.2" customHeight="1" x14ac:dyDescent="0.3">
      <c r="A5" s="21" t="s">
        <v>52</v>
      </c>
      <c r="B5" s="7" t="s">
        <v>124</v>
      </c>
      <c r="C5" s="7" t="s">
        <v>142</v>
      </c>
      <c r="D5" s="7" t="s">
        <v>143</v>
      </c>
      <c r="E5" s="7" t="s">
        <v>144</v>
      </c>
      <c r="F5" s="7" t="s">
        <v>184</v>
      </c>
    </row>
    <row r="6" spans="1:6" ht="60" customHeight="1" x14ac:dyDescent="0.3">
      <c r="A6" s="21" t="s">
        <v>53</v>
      </c>
      <c r="B6" s="7" t="s">
        <v>124</v>
      </c>
      <c r="C6" s="22" t="s">
        <v>145</v>
      </c>
      <c r="D6" s="7" t="s">
        <v>146</v>
      </c>
      <c r="E6" s="7" t="s">
        <v>147</v>
      </c>
      <c r="F6" s="7" t="s">
        <v>185</v>
      </c>
    </row>
    <row r="7" spans="1:6" ht="60" customHeight="1" x14ac:dyDescent="0.3">
      <c r="A7" s="21" t="s">
        <v>54</v>
      </c>
      <c r="B7" s="7" t="s">
        <v>124</v>
      </c>
      <c r="C7" s="19" t="s">
        <v>148</v>
      </c>
      <c r="D7" s="7" t="s">
        <v>149</v>
      </c>
      <c r="E7" s="7" t="s">
        <v>150</v>
      </c>
      <c r="F7" s="7" t="s">
        <v>151</v>
      </c>
    </row>
    <row r="8" spans="1:6" ht="60" customHeight="1" x14ac:dyDescent="0.3">
      <c r="A8" s="21" t="s">
        <v>126</v>
      </c>
      <c r="B8" s="7" t="s">
        <v>155</v>
      </c>
      <c r="C8" s="7" t="s">
        <v>152</v>
      </c>
      <c r="D8" s="7" t="s">
        <v>153</v>
      </c>
      <c r="E8" s="7" t="s">
        <v>154</v>
      </c>
      <c r="F8" s="7" t="s">
        <v>156</v>
      </c>
    </row>
    <row r="9" spans="1:6" ht="60" customHeight="1" x14ac:dyDescent="0.3">
      <c r="A9" s="21" t="s">
        <v>127</v>
      </c>
      <c r="B9" s="7" t="s">
        <v>125</v>
      </c>
      <c r="C9" s="7" t="s">
        <v>157</v>
      </c>
      <c r="D9" s="7" t="s">
        <v>158</v>
      </c>
      <c r="E9" s="7" t="s">
        <v>159</v>
      </c>
      <c r="F9" s="7" t="s">
        <v>186</v>
      </c>
    </row>
    <row r="10" spans="1:6" ht="60" customHeight="1" x14ac:dyDescent="0.3">
      <c r="A10" s="21" t="s">
        <v>138</v>
      </c>
      <c r="B10" s="7" t="s">
        <v>155</v>
      </c>
      <c r="C10" s="7" t="s">
        <v>160</v>
      </c>
      <c r="D10" s="7" t="s">
        <v>161</v>
      </c>
      <c r="E10" s="7" t="s">
        <v>162</v>
      </c>
      <c r="F10" s="7" t="s">
        <v>187</v>
      </c>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68</v>
      </c>
    </row>
    <row r="31" spans="1:6" x14ac:dyDescent="0.3">
      <c r="A31" s="10" t="s">
        <v>69</v>
      </c>
      <c r="B31" s="10" t="s">
        <v>70</v>
      </c>
      <c r="C31" s="10" t="s">
        <v>71</v>
      </c>
    </row>
    <row r="32" spans="1:6" ht="28.8" x14ac:dyDescent="0.3">
      <c r="A32" s="7" t="s">
        <v>63</v>
      </c>
      <c r="B32" s="7" t="s">
        <v>72</v>
      </c>
      <c r="C32" s="7" t="s">
        <v>73</v>
      </c>
    </row>
    <row r="33" spans="1:3" ht="28.8" x14ac:dyDescent="0.3">
      <c r="A33" s="7" t="s">
        <v>74</v>
      </c>
      <c r="B33" s="7" t="s">
        <v>75</v>
      </c>
      <c r="C33" s="7" t="s">
        <v>76</v>
      </c>
    </row>
    <row r="34" spans="1:3" ht="28.8" x14ac:dyDescent="0.3">
      <c r="A34" s="7" t="s">
        <v>77</v>
      </c>
      <c r="B34" s="7" t="s">
        <v>78</v>
      </c>
      <c r="C34" s="7" t="s">
        <v>79</v>
      </c>
    </row>
    <row r="35" spans="1:3" ht="28.8" x14ac:dyDescent="0.3">
      <c r="A35" s="7" t="s">
        <v>80</v>
      </c>
      <c r="B35" s="7" t="s">
        <v>81</v>
      </c>
      <c r="C35" s="7" t="s">
        <v>82</v>
      </c>
    </row>
    <row r="36" spans="1:3" ht="43.2" x14ac:dyDescent="0.3">
      <c r="A36" s="7" t="s">
        <v>83</v>
      </c>
      <c r="B36" s="7" t="s">
        <v>84</v>
      </c>
      <c r="C36" s="7" t="s">
        <v>85</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topLeftCell="A11"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23" t="s">
        <v>86</v>
      </c>
      <c r="B1" s="24"/>
      <c r="C1" s="24"/>
      <c r="D1" s="24"/>
    </row>
    <row r="2" spans="1:4" x14ac:dyDescent="0.3">
      <c r="A2" s="28" t="s">
        <v>87</v>
      </c>
      <c r="B2" s="24"/>
      <c r="C2" s="24"/>
      <c r="D2" s="24"/>
    </row>
    <row r="4" spans="1:4" ht="18" x14ac:dyDescent="0.35">
      <c r="A4" s="1" t="s">
        <v>88</v>
      </c>
    </row>
    <row r="5" spans="1:4" x14ac:dyDescent="0.3">
      <c r="A5" s="6" t="s">
        <v>89</v>
      </c>
      <c r="B5" s="11" t="s">
        <v>90</v>
      </c>
      <c r="C5" s="6" t="s">
        <v>91</v>
      </c>
      <c r="D5" s="11" t="s">
        <v>92</v>
      </c>
    </row>
    <row r="6" spans="1:4" x14ac:dyDescent="0.3">
      <c r="A6" s="12" t="s">
        <v>93</v>
      </c>
      <c r="B6" s="13" t="s">
        <v>94</v>
      </c>
      <c r="C6" s="12" t="s">
        <v>95</v>
      </c>
      <c r="D6" s="13"/>
    </row>
    <row r="7" spans="1:4" x14ac:dyDescent="0.3">
      <c r="A7" s="12" t="s">
        <v>96</v>
      </c>
      <c r="B7" s="13" t="s">
        <v>97</v>
      </c>
      <c r="C7" s="12" t="s">
        <v>95</v>
      </c>
      <c r="D7" s="13"/>
    </row>
    <row r="8" spans="1:4" x14ac:dyDescent="0.3">
      <c r="A8" s="12" t="s">
        <v>98</v>
      </c>
      <c r="B8" s="13" t="s">
        <v>99</v>
      </c>
      <c r="C8" s="12" t="s">
        <v>95</v>
      </c>
      <c r="D8" s="13"/>
    </row>
    <row r="9" spans="1:4" x14ac:dyDescent="0.3">
      <c r="A9" s="12" t="s">
        <v>100</v>
      </c>
      <c r="B9" s="13" t="s">
        <v>101</v>
      </c>
      <c r="C9" s="12" t="s">
        <v>95</v>
      </c>
      <c r="D9" s="13"/>
    </row>
    <row r="10" spans="1:4" x14ac:dyDescent="0.3">
      <c r="A10" s="12" t="s">
        <v>102</v>
      </c>
      <c r="B10" s="13" t="s">
        <v>103</v>
      </c>
      <c r="C10" s="12" t="s">
        <v>95</v>
      </c>
      <c r="D10" s="13"/>
    </row>
    <row r="12" spans="1:4" ht="18" x14ac:dyDescent="0.35">
      <c r="A12" s="1" t="s">
        <v>104</v>
      </c>
    </row>
    <row r="13" spans="1:4" x14ac:dyDescent="0.3">
      <c r="A13" s="6" t="s">
        <v>89</v>
      </c>
      <c r="B13" s="11" t="s">
        <v>90</v>
      </c>
      <c r="C13" s="6" t="s">
        <v>91</v>
      </c>
      <c r="D13" s="11" t="s">
        <v>105</v>
      </c>
    </row>
    <row r="14" spans="1:4" x14ac:dyDescent="0.3">
      <c r="A14" s="12" t="s">
        <v>93</v>
      </c>
      <c r="B14" s="13" t="s">
        <v>106</v>
      </c>
      <c r="C14" s="12" t="s">
        <v>95</v>
      </c>
      <c r="D14" s="13"/>
    </row>
    <row r="15" spans="1:4" x14ac:dyDescent="0.3">
      <c r="A15" s="12" t="s">
        <v>96</v>
      </c>
      <c r="B15" s="13" t="s">
        <v>107</v>
      </c>
      <c r="C15" s="12" t="s">
        <v>95</v>
      </c>
      <c r="D15" s="13"/>
    </row>
    <row r="16" spans="1:4" x14ac:dyDescent="0.3">
      <c r="A16" s="12" t="s">
        <v>98</v>
      </c>
      <c r="B16" s="13" t="s">
        <v>108</v>
      </c>
      <c r="C16" s="12" t="s">
        <v>95</v>
      </c>
      <c r="D16" s="13"/>
    </row>
    <row r="17" spans="1:4" x14ac:dyDescent="0.3">
      <c r="A17" s="12" t="s">
        <v>100</v>
      </c>
      <c r="B17" s="13" t="s">
        <v>109</v>
      </c>
      <c r="C17" s="12" t="s">
        <v>95</v>
      </c>
      <c r="D17" s="13"/>
    </row>
    <row r="18" spans="1:4" x14ac:dyDescent="0.3">
      <c r="A18" s="12" t="s">
        <v>102</v>
      </c>
      <c r="B18" s="13" t="s">
        <v>110</v>
      </c>
      <c r="C18" s="12" t="s">
        <v>95</v>
      </c>
      <c r="D18" s="13"/>
    </row>
    <row r="20" spans="1:4" ht="15.6" x14ac:dyDescent="0.3">
      <c r="A20" s="14" t="s">
        <v>111</v>
      </c>
    </row>
    <row r="21" spans="1:4" x14ac:dyDescent="0.3">
      <c r="A21" s="15" t="s">
        <v>112</v>
      </c>
    </row>
    <row r="22" spans="1:4" x14ac:dyDescent="0.3">
      <c r="A22" s="15" t="s">
        <v>113</v>
      </c>
    </row>
    <row r="25" spans="1:4" ht="18" x14ac:dyDescent="0.35">
      <c r="A25" s="1" t="s">
        <v>114</v>
      </c>
    </row>
    <row r="26" spans="1:4" x14ac:dyDescent="0.3">
      <c r="A26" s="16" t="s">
        <v>115</v>
      </c>
    </row>
    <row r="27" spans="1:4" ht="43.2" x14ac:dyDescent="0.3">
      <c r="A27" s="17" t="s">
        <v>44</v>
      </c>
      <c r="B27" s="10" t="s">
        <v>116</v>
      </c>
      <c r="C27" s="10" t="s">
        <v>117</v>
      </c>
      <c r="D27" s="10" t="s">
        <v>118</v>
      </c>
    </row>
    <row r="28" spans="1:4" x14ac:dyDescent="0.3">
      <c r="A28" s="9" t="s">
        <v>52</v>
      </c>
      <c r="B28" s="7"/>
      <c r="C28" s="7"/>
      <c r="D28" s="7"/>
    </row>
    <row r="29" spans="1:4" x14ac:dyDescent="0.3">
      <c r="A29" s="9" t="s">
        <v>53</v>
      </c>
      <c r="B29" s="7"/>
      <c r="C29" s="7"/>
      <c r="D29" s="7"/>
    </row>
    <row r="30" spans="1:4" x14ac:dyDescent="0.3">
      <c r="A30" s="9" t="s">
        <v>54</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asus</cp:lastModifiedBy>
  <dcterms:created xsi:type="dcterms:W3CDTF">2026-05-07T22:28:42Z</dcterms:created>
  <dcterms:modified xsi:type="dcterms:W3CDTF">2026-06-30T01:13:34Z</dcterms:modified>
</cp:coreProperties>
</file>